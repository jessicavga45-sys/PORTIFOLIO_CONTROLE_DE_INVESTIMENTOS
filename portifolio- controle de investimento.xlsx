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Desktop\"/>
    </mc:Choice>
  </mc:AlternateContent>
  <xr:revisionPtr revIDLastSave="0" documentId="13_ncr:1_{398BCE22-9D72-424E-B244-E0E403B02606}" xr6:coauthVersionLast="47" xr6:coauthVersionMax="47" xr10:uidLastSave="{00000000-0000-0000-0000-000000000000}"/>
  <bookViews>
    <workbookView xWindow="-108" yWindow="-108" windowWidth="23256" windowHeight="12456" tabRatio="0" xr2:uid="{F2D8B137-4595-4255-8BA9-32B69C222EA7}"/>
  </bookViews>
  <sheets>
    <sheet name="Planilha1" sheetId="1" r:id="rId1"/>
    <sheet name="Planilha2" sheetId="2" r:id="rId2"/>
  </sheets>
  <definedNames>
    <definedName name="rendimento_total">Planilha1!$D$13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D40" i="1" s="1"/>
  <c r="C35" i="1"/>
  <c r="H5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2" i="1"/>
  <c r="D36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37" i="1" l="1"/>
  <c r="D38" i="1"/>
  <c r="D39" i="1"/>
  <c r="D35" i="1"/>
  <c r="D41" i="1" l="1"/>
</calcChain>
</file>

<file path=xl/sharedStrings.xml><?xml version="1.0" encoding="utf-8"?>
<sst xmlns="http://schemas.openxmlformats.org/spreadsheetml/2006/main" count="71" uniqueCount="35">
  <si>
    <t>INVESTIMENTO MENSAL</t>
  </si>
  <si>
    <t>CENÁRIOS</t>
  </si>
  <si>
    <t>DIVIDENDO</t>
  </si>
  <si>
    <t>CONFIGURAÇÔES</t>
  </si>
  <si>
    <t>Valor a ser investido por mês</t>
  </si>
  <si>
    <t>Agressivo</t>
  </si>
  <si>
    <t xml:space="preserve">     Salário</t>
  </si>
  <si>
    <t xml:space="preserve">     Rendimento carteira</t>
  </si>
  <si>
    <t xml:space="preserve">     Sugestão de investimento</t>
  </si>
  <si>
    <t xml:space="preserve">     Quanto em 2 anos?</t>
  </si>
  <si>
    <t xml:space="preserve">     Quanto em 5 anos? </t>
  </si>
  <si>
    <t xml:space="preserve">     Quanto em 10 anos?</t>
  </si>
  <si>
    <t xml:space="preserve">     Quanto em 20 anos? </t>
  </si>
  <si>
    <t xml:space="preserve">     Quanto em 30 anos? </t>
  </si>
  <si>
    <t xml:space="preserve">     Quanto investir por mês ?</t>
  </si>
  <si>
    <t xml:space="preserve">     Por quantos anos ?</t>
  </si>
  <si>
    <t xml:space="preserve">     Taxa de rendimento mensal? </t>
  </si>
  <si>
    <t xml:space="preserve">     Patrimonio acumulado ?</t>
  </si>
  <si>
    <t xml:space="preserve">     Dividendos mensais ?</t>
  </si>
  <si>
    <t xml:space="preserve">PERFIL </t>
  </si>
  <si>
    <t>TIPO DE FII</t>
  </si>
  <si>
    <t>Percentual sugerido</t>
  </si>
  <si>
    <t>Valores</t>
  </si>
  <si>
    <t>PAPEL</t>
  </si>
  <si>
    <t>TIJOLO</t>
  </si>
  <si>
    <t>HIBRIDO</t>
  </si>
  <si>
    <t>FOFs</t>
  </si>
  <si>
    <t>DESENVOLVIMENTO</t>
  </si>
  <si>
    <t>HOTELÁRIAS</t>
  </si>
  <si>
    <t>PERFIL</t>
  </si>
  <si>
    <t>Conservador</t>
  </si>
  <si>
    <t>%</t>
  </si>
  <si>
    <t>CHAVE</t>
  </si>
  <si>
    <t>Moderado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</si>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</sst>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medium">
        <color indexed="64"/>
      </left>
      <right style="dashed">
        <color theme="0" tint="-4.9989318521683403E-2"/>
      </right>
      <top style="medium">
        <color indexed="64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medium">
        <color indexed="64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medium">
        <color indexed="64"/>
      </right>
      <top style="medium">
        <color indexed="64"/>
      </top>
      <bottom style="dashed">
        <color theme="0" tint="-4.9989318521683403E-2"/>
      </bottom>
      <diagonal/>
    </border>
    <border>
      <left style="medium">
        <color indexed="64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dashed">
        <color theme="0" tint="-4.9989318521683403E-2"/>
      </left>
      <right style="medium">
        <color indexed="64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medium">
        <color indexed="64"/>
      </left>
      <right style="dashed">
        <color theme="0" tint="-4.9989318521683403E-2"/>
      </right>
      <top style="dashed">
        <color theme="0" tint="-4.9989318521683403E-2"/>
      </top>
      <bottom style="medium">
        <color indexed="64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medium">
        <color indexed="64"/>
      </bottom>
      <diagonal/>
    </border>
    <border>
      <left style="dashed">
        <color theme="0" tint="-4.9989318521683403E-2"/>
      </left>
      <right style="medium">
        <color indexed="64"/>
      </right>
      <top style="dashed">
        <color theme="0" tint="-4.9989318521683403E-2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medium">
        <color theme="0" tint="-0.14996795556505021"/>
      </right>
      <top/>
      <bottom/>
      <diagonal/>
    </border>
    <border>
      <left/>
      <right style="medium">
        <color theme="0" tint="-0.14996795556505021"/>
      </right>
      <top style="medium">
        <color indexed="64"/>
      </top>
      <bottom/>
      <diagonal/>
    </border>
    <border>
      <left/>
      <right style="medium">
        <color theme="0" tint="-0.14996795556505021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49">
    <xf numFmtId="0" fontId="0" fillId="0" borderId="0" xfId="0"/>
    <xf numFmtId="10" fontId="2" fillId="0" borderId="4" xfId="0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8" fontId="2" fillId="3" borderId="4" xfId="0" applyNumberFormat="1" applyFont="1" applyFill="1" applyBorder="1" applyAlignment="1">
      <alignment horizontal="center"/>
    </xf>
    <xf numFmtId="8" fontId="2" fillId="3" borderId="5" xfId="0" applyNumberFormat="1" applyFont="1" applyFill="1" applyBorder="1" applyAlignment="1">
      <alignment horizontal="center"/>
    </xf>
    <xf numFmtId="0" fontId="5" fillId="0" borderId="0" xfId="0" applyFont="1"/>
    <xf numFmtId="0" fontId="4" fillId="2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14" xfId="0" applyFont="1" applyFill="1" applyBorder="1"/>
    <xf numFmtId="0" fontId="6" fillId="3" borderId="16" xfId="0" applyFont="1" applyFill="1" applyBorder="1"/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8" fontId="0" fillId="3" borderId="10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8" fontId="0" fillId="3" borderId="18" xfId="0" applyNumberFormat="1" applyFill="1" applyBorder="1" applyAlignment="1">
      <alignment horizontal="center"/>
    </xf>
    <xf numFmtId="164" fontId="0" fillId="0" borderId="20" xfId="1" applyNumberFormat="1" applyFon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0" fontId="8" fillId="5" borderId="19" xfId="0" applyFont="1" applyFill="1" applyBorder="1" applyAlignment="1"/>
    <xf numFmtId="0" fontId="8" fillId="2" borderId="2" xfId="0" applyFont="1" applyFill="1" applyBorder="1" applyAlignment="1"/>
    <xf numFmtId="0" fontId="8" fillId="2" borderId="1" xfId="0" applyFont="1" applyFill="1" applyBorder="1" applyAlignment="1">
      <alignment horizontal="center"/>
    </xf>
    <xf numFmtId="164" fontId="2" fillId="3" borderId="2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7" fillId="3" borderId="25" xfId="0" applyFont="1" applyFill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3" borderId="22" xfId="0" applyFont="1" applyFill="1" applyBorder="1" applyAlignment="1">
      <alignment horizontal="left"/>
    </xf>
    <xf numFmtId="0" fontId="7" fillId="3" borderId="26" xfId="0" applyFont="1" applyFill="1" applyBorder="1" applyAlignment="1">
      <alignment horizontal="left"/>
    </xf>
    <xf numFmtId="0" fontId="7" fillId="3" borderId="0" xfId="0" applyFont="1" applyFill="1" applyBorder="1"/>
    <xf numFmtId="0" fontId="8" fillId="2" borderId="0" xfId="0" applyFont="1" applyFill="1" applyBorder="1"/>
    <xf numFmtId="0" fontId="9" fillId="2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6" borderId="0" xfId="0" applyFill="1"/>
    <xf numFmtId="164" fontId="2" fillId="6" borderId="0" xfId="0" applyNumberFormat="1" applyFont="1" applyFill="1"/>
    <xf numFmtId="0" fontId="2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3" fillId="4" borderId="0" xfId="3" applyNumberFormat="1" applyAlignment="1">
      <alignment horizontal="center"/>
    </xf>
    <xf numFmtId="9" fontId="3" fillId="4" borderId="0" xfId="2" applyFont="1" applyFill="1"/>
    <xf numFmtId="164" fontId="0" fillId="3" borderId="0" xfId="0" applyNumberFormat="1" applyFill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Ruim" xfId="3" builtinId="27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HOTELÁRIAS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7-435A-92F6-137F7B9A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411480</xdr:colOff>
      <xdr:row>0</xdr:row>
      <xdr:rowOff>175260</xdr:rowOff>
    </xdr:from>
    <xdr:to>
      <xdr:col>4</xdr:col>
      <xdr:colOff>129540</xdr:colOff>
      <xdr:row>9</xdr:row>
      <xdr:rowOff>5702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11FE4B7-16CD-630B-335E-94695AB64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902" b="31175"/>
        <a:stretch/>
      </xdr:blipFill>
      <xdr:spPr>
        <a:xfrm>
          <a:off x="411480" y="175260"/>
          <a:ext cx="5615940" cy="147066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404090</xdr:colOff>
      <xdr:row>41</xdr:row>
      <xdr:rowOff>143163</xdr:rowOff>
    </xdr:from>
    <xdr:to>
      <xdr:col>3</xdr:col>
      <xdr:colOff>581890</xdr:colOff>
      <xdr:row>50</xdr:row>
      <xdr:rowOff>120073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0D2DAA-148A-EFD4-A33A-0D687593E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C38C-519B-43A0-B8F3-9CEFDD2E8AED}">
  <dimension ref="A10:G65"/>
  <sheetViews>
    <sheetView showGridLines="0" showRowColHeaders="0" tabSelected="1" topLeftCell="A19" zoomScale="80" zoomScaleNormal="80" workbookViewId="0">
      <selection activeCell="D43" sqref="D43"/>
    </sheetView>
  </sheetViews>
  <sheetFormatPr defaultColWidth="0" defaultRowHeight="14.4" x14ac:dyDescent="0.3"/>
  <cols>
    <col min="1" max="1" width="8.88671875" customWidth="1"/>
    <col min="2" max="2" width="47.5546875" customWidth="1"/>
    <col min="3" max="3" width="17.21875" customWidth="1"/>
    <col min="4" max="4" width="12.33203125" customWidth="1"/>
    <col min="5" max="5" width="7.6640625" customWidth="1"/>
    <col min="6" max="6" width="8.88671875" hidden="1" customWidth="1"/>
    <col min="7" max="7" width="10.88671875" hidden="1" customWidth="1"/>
    <col min="8" max="8" width="8.88671875" hidden="1" customWidth="1"/>
    <col min="9" max="16384" width="8.88671875" hidden="1"/>
  </cols>
  <sheetData>
    <row r="10" spans="2:4" ht="15" thickBot="1" x14ac:dyDescent="0.35"/>
    <row r="11" spans="2:4" ht="26.4" thickBot="1" x14ac:dyDescent="0.55000000000000004">
      <c r="B11" s="23" t="s">
        <v>3</v>
      </c>
      <c r="C11" s="24"/>
      <c r="D11" s="19"/>
    </row>
    <row r="12" spans="2:4" ht="16.2" thickBot="1" x14ac:dyDescent="0.35">
      <c r="B12" s="26" t="s">
        <v>6</v>
      </c>
      <c r="C12" s="27"/>
      <c r="D12" s="17">
        <v>2000</v>
      </c>
    </row>
    <row r="13" spans="2:4" ht="16.2" thickBot="1" x14ac:dyDescent="0.35">
      <c r="B13" s="26" t="s">
        <v>7</v>
      </c>
      <c r="C13" s="27"/>
      <c r="D13" s="18">
        <v>6.0000000000000001E-3</v>
      </c>
    </row>
    <row r="14" spans="2:4" ht="16.2" thickBot="1" x14ac:dyDescent="0.35">
      <c r="B14" s="28" t="s">
        <v>8</v>
      </c>
      <c r="C14" s="29"/>
      <c r="D14" s="22">
        <f>D12*30%</f>
        <v>600</v>
      </c>
    </row>
    <row r="15" spans="2:4" ht="15" thickBot="1" x14ac:dyDescent="0.35"/>
    <row r="16" spans="2:4" ht="25.8" x14ac:dyDescent="0.5">
      <c r="B16" s="21" t="s">
        <v>0</v>
      </c>
      <c r="C16" s="25"/>
      <c r="D16" s="20"/>
    </row>
    <row r="17" spans="1:4" ht="15.6" x14ac:dyDescent="0.3">
      <c r="B17" s="26" t="s">
        <v>14</v>
      </c>
      <c r="C17" s="30"/>
      <c r="D17" s="2">
        <v>200</v>
      </c>
    </row>
    <row r="18" spans="1:4" ht="15.6" x14ac:dyDescent="0.3">
      <c r="B18" s="26" t="s">
        <v>15</v>
      </c>
      <c r="C18" s="30"/>
      <c r="D18" s="3">
        <v>5</v>
      </c>
    </row>
    <row r="19" spans="1:4" ht="15.6" x14ac:dyDescent="0.3">
      <c r="B19" s="26" t="s">
        <v>16</v>
      </c>
      <c r="C19" s="30"/>
      <c r="D19" s="1">
        <v>1.0789999999999999E-2</v>
      </c>
    </row>
    <row r="20" spans="1:4" ht="15.6" x14ac:dyDescent="0.3">
      <c r="B20" s="31" t="s">
        <v>17</v>
      </c>
      <c r="C20" s="32"/>
      <c r="D20" s="4">
        <f>FV(D19,D18*12,D17*-1)</f>
        <v>16755.382799697527</v>
      </c>
    </row>
    <row r="21" spans="1:4" ht="16.2" thickBot="1" x14ac:dyDescent="0.35">
      <c r="B21" s="28" t="s">
        <v>18</v>
      </c>
      <c r="C21" s="33"/>
      <c r="D21" s="5">
        <f>D20*$D$13</f>
        <v>100.53229679818516</v>
      </c>
    </row>
    <row r="22" spans="1:4" ht="15" thickBot="1" x14ac:dyDescent="0.35"/>
    <row r="23" spans="1:4" ht="25.8" x14ac:dyDescent="0.5">
      <c r="B23" s="11" t="s">
        <v>1</v>
      </c>
      <c r="C23" s="12"/>
      <c r="D23" s="7" t="s">
        <v>2</v>
      </c>
    </row>
    <row r="24" spans="1:4" ht="15.6" x14ac:dyDescent="0.3">
      <c r="A24" s="6">
        <v>2</v>
      </c>
      <c r="B24" s="9" t="s">
        <v>9</v>
      </c>
      <c r="C24" s="13">
        <f>FV($D$19,$A24*12,$D$17*-1)</f>
        <v>5445.5254595290435</v>
      </c>
      <c r="D24" s="14">
        <f>C24*$D$13</f>
        <v>32.673152757174265</v>
      </c>
    </row>
    <row r="25" spans="1:4" ht="15.6" x14ac:dyDescent="0.3">
      <c r="A25" s="6">
        <v>5</v>
      </c>
      <c r="B25" s="9" t="s">
        <v>10</v>
      </c>
      <c r="C25" s="13">
        <f>FV($D$19,$A25*12,$D$17*-1)</f>
        <v>16755.382799697527</v>
      </c>
      <c r="D25" s="14">
        <f>C25*$D$13</f>
        <v>100.53229679818516</v>
      </c>
    </row>
    <row r="26" spans="1:4" ht="15.6" x14ac:dyDescent="0.3">
      <c r="A26" s="6">
        <v>10</v>
      </c>
      <c r="B26" s="9" t="s">
        <v>11</v>
      </c>
      <c r="C26" s="13">
        <f>FV($D$19,$A26*12,$D$17*-1)</f>
        <v>48656.842506034438</v>
      </c>
      <c r="D26" s="14">
        <f>C26*$D$13</f>
        <v>291.94105503620665</v>
      </c>
    </row>
    <row r="27" spans="1:4" ht="15.6" x14ac:dyDescent="0.3">
      <c r="A27" s="6">
        <v>20</v>
      </c>
      <c r="B27" s="9" t="s">
        <v>12</v>
      </c>
      <c r="C27" s="13">
        <f>FV($D$19,$A27*12,$D$17*-1)</f>
        <v>225039.68001941612</v>
      </c>
      <c r="D27" s="14">
        <f>C27*$D$13</f>
        <v>1350.2380801164968</v>
      </c>
    </row>
    <row r="28" spans="1:4" ht="16.2" thickBot="1" x14ac:dyDescent="0.35">
      <c r="A28" s="6">
        <v>30</v>
      </c>
      <c r="B28" s="10" t="s">
        <v>13</v>
      </c>
      <c r="C28" s="15">
        <f>FV($D$19,$A28*12,$D$17*-1)</f>
        <v>864433.93100094295</v>
      </c>
      <c r="D28" s="16">
        <f>C28*$D$13</f>
        <v>5186.6035860056581</v>
      </c>
    </row>
    <row r="31" spans="1:4" ht="25.8" x14ac:dyDescent="0.5">
      <c r="B31" s="35" t="s">
        <v>19</v>
      </c>
      <c r="C31" s="36" t="s">
        <v>5</v>
      </c>
      <c r="D31" s="36"/>
    </row>
    <row r="32" spans="1:4" ht="15.6" x14ac:dyDescent="0.3">
      <c r="B32" s="34" t="s">
        <v>4</v>
      </c>
      <c r="C32" s="37">
        <f>D17</f>
        <v>200</v>
      </c>
      <c r="D32" s="37"/>
    </row>
    <row r="34" spans="2:4" x14ac:dyDescent="0.3">
      <c r="B34" s="40" t="s">
        <v>20</v>
      </c>
      <c r="C34" s="40" t="s">
        <v>21</v>
      </c>
      <c r="D34" s="40" t="s">
        <v>22</v>
      </c>
    </row>
    <row r="35" spans="2:4" x14ac:dyDescent="0.3">
      <c r="B35" s="8" t="s">
        <v>23</v>
      </c>
      <c r="C35" s="41">
        <f>VLOOKUP($C$31&amp;"-"&amp;B35,Planilha2!$A:$D,4,FALSE)</f>
        <v>0.5</v>
      </c>
      <c r="D35" s="48">
        <f>C35*$C$32</f>
        <v>100</v>
      </c>
    </row>
    <row r="36" spans="2:4" x14ac:dyDescent="0.3">
      <c r="B36" s="8" t="s">
        <v>24</v>
      </c>
      <c r="C36" s="41">
        <f>VLOOKUP($C$31&amp;"-"&amp;B36,Planilha2!$A:$D,4,FALSE)</f>
        <v>0.1</v>
      </c>
      <c r="D36" s="48">
        <f t="shared" ref="D36:D40" si="0">C36*$C$32</f>
        <v>20</v>
      </c>
    </row>
    <row r="37" spans="2:4" x14ac:dyDescent="0.3">
      <c r="B37" s="8" t="s">
        <v>25</v>
      </c>
      <c r="C37" s="41">
        <f>VLOOKUP($C$31&amp;"-"&amp;B37,Planilha2!$A:$D,4,FALSE)</f>
        <v>0.05</v>
      </c>
      <c r="D37" s="48">
        <f t="shared" si="0"/>
        <v>10</v>
      </c>
    </row>
    <row r="38" spans="2:4" x14ac:dyDescent="0.3">
      <c r="B38" s="8" t="s">
        <v>26</v>
      </c>
      <c r="C38" s="41">
        <f>VLOOKUP($C$31&amp;"-"&amp;B38,Planilha2!$A:$D,4,FALSE)</f>
        <v>0.05</v>
      </c>
      <c r="D38" s="48">
        <f t="shared" si="0"/>
        <v>10</v>
      </c>
    </row>
    <row r="39" spans="2:4" x14ac:dyDescent="0.3">
      <c r="B39" s="8" t="s">
        <v>27</v>
      </c>
      <c r="C39" s="41">
        <f>VLOOKUP($C$31&amp;"-"&amp;B39,Planilha2!$A:$D,4,FALSE)</f>
        <v>0.2</v>
      </c>
      <c r="D39" s="48">
        <f t="shared" si="0"/>
        <v>40</v>
      </c>
    </row>
    <row r="40" spans="2:4" x14ac:dyDescent="0.3">
      <c r="B40" s="8" t="s">
        <v>28</v>
      </c>
      <c r="C40" s="41">
        <f>VLOOKUP($C$31&amp;"-"&amp;B40,Planilha2!$A:$D,4,FALSE)</f>
        <v>0.1</v>
      </c>
      <c r="D40" s="48">
        <f t="shared" si="0"/>
        <v>20</v>
      </c>
    </row>
    <row r="41" spans="2:4" x14ac:dyDescent="0.3">
      <c r="B41" s="38"/>
      <c r="C41" s="38"/>
      <c r="D41" s="39">
        <f>SUM(D35:D40)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</sheetData>
  <mergeCells count="13">
    <mergeCell ref="C31:D31"/>
    <mergeCell ref="C32:D32"/>
    <mergeCell ref="B11:C11"/>
    <mergeCell ref="B12:C12"/>
    <mergeCell ref="B13:C13"/>
    <mergeCell ref="B14:C14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1" xr:uid="{CBE43B91-1E17-46C8-886F-9E23A0B4961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550D-7F51-4A0D-99D8-0D5D6758EAFF}">
  <dimension ref="A2:H20"/>
  <sheetViews>
    <sheetView workbookViewId="0">
      <selection activeCell="D13" sqref="D13"/>
    </sheetView>
  </sheetViews>
  <sheetFormatPr defaultRowHeight="14.4" x14ac:dyDescent="0.3"/>
  <cols>
    <col min="1" max="1" width="17.33203125" bestFit="1" customWidth="1"/>
    <col min="2" max="2" width="11.21875" bestFit="1" customWidth="1"/>
    <col min="3" max="3" width="17.6640625" bestFit="1" customWidth="1"/>
    <col min="7" max="7" width="15.44140625" bestFit="1" customWidth="1"/>
  </cols>
  <sheetData>
    <row r="2" spans="1:8" x14ac:dyDescent="0.3">
      <c r="A2" t="s">
        <v>32</v>
      </c>
      <c r="B2" t="s">
        <v>29</v>
      </c>
      <c r="C2" s="8" t="s">
        <v>20</v>
      </c>
      <c r="D2" s="8" t="s">
        <v>31</v>
      </c>
    </row>
    <row r="3" spans="1:8" x14ac:dyDescent="0.3">
      <c r="A3" t="str">
        <f>B3&amp;"-"&amp;C3</f>
        <v>Conservador-PAPEL</v>
      </c>
      <c r="B3" t="s">
        <v>30</v>
      </c>
      <c r="C3" s="8" t="s">
        <v>23</v>
      </c>
      <c r="D3" s="41">
        <v>0.3</v>
      </c>
    </row>
    <row r="4" spans="1:8" x14ac:dyDescent="0.3">
      <c r="A4" t="str">
        <f t="shared" ref="A4:A20" si="0">B4&amp;"-"&amp;C4</f>
        <v>Conservador-TIJOLO</v>
      </c>
      <c r="B4" t="s">
        <v>30</v>
      </c>
      <c r="C4" s="8" t="s">
        <v>24</v>
      </c>
      <c r="D4" s="41">
        <v>0.5</v>
      </c>
      <c r="H4" t="s">
        <v>31</v>
      </c>
    </row>
    <row r="5" spans="1:8" x14ac:dyDescent="0.3">
      <c r="A5" t="str">
        <f t="shared" si="0"/>
        <v>Conservador-HIBRIDO</v>
      </c>
      <c r="B5" t="s">
        <v>30</v>
      </c>
      <c r="C5" s="8" t="s">
        <v>25</v>
      </c>
      <c r="D5" s="41">
        <v>0.1</v>
      </c>
      <c r="G5" s="46" t="s">
        <v>34</v>
      </c>
      <c r="H5" s="47">
        <f>VLOOKUP(G5,$A:$D,4,FALSE)</f>
        <v>0.35</v>
      </c>
    </row>
    <row r="6" spans="1:8" x14ac:dyDescent="0.3">
      <c r="A6" t="str">
        <f t="shared" si="0"/>
        <v>Conservador-FOFs</v>
      </c>
      <c r="B6" t="s">
        <v>30</v>
      </c>
      <c r="C6" s="8" t="s">
        <v>26</v>
      </c>
      <c r="D6" s="41">
        <v>0.1</v>
      </c>
    </row>
    <row r="7" spans="1:8" x14ac:dyDescent="0.3">
      <c r="A7" t="str">
        <f t="shared" si="0"/>
        <v>Conservador-DESENVOLVIMENTO</v>
      </c>
      <c r="B7" t="s">
        <v>30</v>
      </c>
      <c r="C7" s="8" t="s">
        <v>27</v>
      </c>
      <c r="D7" s="41">
        <v>0</v>
      </c>
    </row>
    <row r="8" spans="1:8" x14ac:dyDescent="0.3">
      <c r="A8" s="42" t="str">
        <f t="shared" si="0"/>
        <v>Conservador-HOTELÁRIAS</v>
      </c>
      <c r="B8" s="42" t="s">
        <v>30</v>
      </c>
      <c r="C8" s="43" t="s">
        <v>28</v>
      </c>
      <c r="D8" s="44">
        <v>0</v>
      </c>
    </row>
    <row r="9" spans="1:8" x14ac:dyDescent="0.3">
      <c r="A9" t="str">
        <f t="shared" si="0"/>
        <v>Moderado-PAPEL</v>
      </c>
      <c r="B9" t="s">
        <v>33</v>
      </c>
      <c r="C9" s="8" t="s">
        <v>23</v>
      </c>
      <c r="D9" s="45">
        <v>0.32</v>
      </c>
    </row>
    <row r="10" spans="1:8" x14ac:dyDescent="0.3">
      <c r="A10" t="str">
        <f t="shared" si="0"/>
        <v>Moderado-TIJOLO</v>
      </c>
      <c r="B10" t="s">
        <v>33</v>
      </c>
      <c r="C10" s="8" t="s">
        <v>24</v>
      </c>
      <c r="D10" s="45">
        <v>0.35</v>
      </c>
    </row>
    <row r="11" spans="1:8" x14ac:dyDescent="0.3">
      <c r="A11" t="str">
        <f t="shared" si="0"/>
        <v>Moderado-HIBRIDO</v>
      </c>
      <c r="B11" t="s">
        <v>33</v>
      </c>
      <c r="C11" s="8" t="s">
        <v>25</v>
      </c>
      <c r="D11" s="45">
        <v>0.08</v>
      </c>
    </row>
    <row r="12" spans="1:8" x14ac:dyDescent="0.3">
      <c r="A12" t="str">
        <f t="shared" si="0"/>
        <v>Moderado-FOFs</v>
      </c>
      <c r="B12" t="s">
        <v>33</v>
      </c>
      <c r="C12" s="8" t="s">
        <v>26</v>
      </c>
      <c r="D12" s="45">
        <v>0.05</v>
      </c>
    </row>
    <row r="13" spans="1:8" x14ac:dyDescent="0.3">
      <c r="A13" t="str">
        <f t="shared" si="0"/>
        <v>Moderado-DESENVOLVIMENTO</v>
      </c>
      <c r="B13" t="s">
        <v>33</v>
      </c>
      <c r="C13" s="8" t="s">
        <v>27</v>
      </c>
      <c r="D13" s="45">
        <v>0.1</v>
      </c>
    </row>
    <row r="14" spans="1:8" x14ac:dyDescent="0.3">
      <c r="A14" s="42" t="str">
        <f t="shared" si="0"/>
        <v>Moderado-HOTELÁRIAS</v>
      </c>
      <c r="B14" s="42" t="s">
        <v>33</v>
      </c>
      <c r="C14" s="43" t="s">
        <v>28</v>
      </c>
      <c r="D14" s="44">
        <v>0.1</v>
      </c>
    </row>
    <row r="15" spans="1:8" x14ac:dyDescent="0.3">
      <c r="A15" t="str">
        <f t="shared" si="0"/>
        <v>Agressivo-PAPEL</v>
      </c>
      <c r="B15" t="s">
        <v>5</v>
      </c>
      <c r="C15" s="8" t="s">
        <v>23</v>
      </c>
      <c r="D15" s="45">
        <v>0.5</v>
      </c>
    </row>
    <row r="16" spans="1:8" x14ac:dyDescent="0.3">
      <c r="A16" t="str">
        <f t="shared" si="0"/>
        <v>Agressivo-TIJOLO</v>
      </c>
      <c r="B16" t="s">
        <v>5</v>
      </c>
      <c r="C16" s="8" t="s">
        <v>24</v>
      </c>
      <c r="D16" s="45">
        <v>0.1</v>
      </c>
    </row>
    <row r="17" spans="1:4" x14ac:dyDescent="0.3">
      <c r="A17" t="str">
        <f t="shared" si="0"/>
        <v>Agressivo-HIBRIDO</v>
      </c>
      <c r="B17" t="s">
        <v>5</v>
      </c>
      <c r="C17" s="8" t="s">
        <v>25</v>
      </c>
      <c r="D17" s="45">
        <v>0.05</v>
      </c>
    </row>
    <row r="18" spans="1:4" x14ac:dyDescent="0.3">
      <c r="A18" t="str">
        <f t="shared" si="0"/>
        <v>Agressivo-FOFs</v>
      </c>
      <c r="B18" t="s">
        <v>5</v>
      </c>
      <c r="C18" s="8" t="s">
        <v>26</v>
      </c>
      <c r="D18" s="45">
        <v>0.05</v>
      </c>
    </row>
    <row r="19" spans="1:4" x14ac:dyDescent="0.3">
      <c r="A19" t="str">
        <f t="shared" si="0"/>
        <v>Agressivo-DESENVOLVIMENTO</v>
      </c>
      <c r="B19" t="s">
        <v>5</v>
      </c>
      <c r="C19" s="8" t="s">
        <v>27</v>
      </c>
      <c r="D19" s="45">
        <v>0.2</v>
      </c>
    </row>
    <row r="20" spans="1:4" x14ac:dyDescent="0.3">
      <c r="A20" t="str">
        <f t="shared" si="0"/>
        <v>Agressivo-HOTELÁRIAS</v>
      </c>
      <c r="B20" t="s">
        <v>5</v>
      </c>
      <c r="C20" s="8" t="s">
        <v>28</v>
      </c>
      <c r="D20" s="4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rendimento_total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ribeiro</dc:creator>
  <cp:lastModifiedBy>JESSICA RIBEIRO</cp:lastModifiedBy>
  <dcterms:created xsi:type="dcterms:W3CDTF">2025-12-23T00:05:41Z</dcterms:created>
  <dcterms:modified xsi:type="dcterms:W3CDTF">2026-01-21T19:21:07Z</dcterms:modified>
</cp:coreProperties>
</file>